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0 - DOO Crna Gora\0 - Auto fill documents\6 - Izjava likvidacija\"/>
    </mc:Choice>
  </mc:AlternateContent>
  <xr:revisionPtr revIDLastSave="0" documentId="13_ncr:1_{6F02DBA8-6C01-4A90-AC65-3ED3D809918B}" xr6:coauthVersionLast="47" xr6:coauthVersionMax="47" xr10:uidLastSave="{00000000-0000-0000-0000-000000000000}"/>
  <bookViews>
    <workbookView xWindow="-108" yWindow="-108" windowWidth="23256" windowHeight="12456" xr2:uid="{854878C9-C881-44DA-BDE8-78C981F0D424}"/>
  </bookViews>
  <sheets>
    <sheet name="Dashboard" sheetId="1" r:id="rId1"/>
    <sheet name="TechSheet" sheetId="3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3" l="1"/>
  <c r="O18" i="3"/>
  <c r="O17" i="3"/>
  <c r="P7" i="3"/>
  <c r="P17" i="3" s="1"/>
  <c r="C12" i="1" s="1"/>
  <c r="P8" i="3"/>
  <c r="P18" i="3" s="1"/>
  <c r="D12" i="1" s="1"/>
  <c r="P9" i="3"/>
  <c r="P19" i="3" s="1"/>
  <c r="E12" i="1" s="1"/>
  <c r="O16" i="3"/>
  <c r="P6" i="3"/>
  <c r="P16" i="3" s="1"/>
  <c r="B11" i="1" s="1"/>
  <c r="O15" i="3" l="1"/>
  <c r="P5" i="3"/>
  <c r="P15" i="3" s="1"/>
  <c r="B16" i="1" s="1"/>
  <c r="O14" i="3"/>
  <c r="O13" i="3"/>
  <c r="P4" i="3"/>
  <c r="P14" i="3" s="1"/>
  <c r="P3" i="3"/>
  <c r="P13" i="3" s="1"/>
</calcChain>
</file>

<file path=xl/sharedStrings.xml><?xml version="1.0" encoding="utf-8"?>
<sst xmlns="http://schemas.openxmlformats.org/spreadsheetml/2006/main" count="305" uniqueCount="220">
  <si>
    <t>Index</t>
  </si>
  <si>
    <t>Step</t>
  </si>
  <si>
    <t>Value</t>
  </si>
  <si>
    <t>Done</t>
  </si>
  <si>
    <t>Den Pfad zum Formular angeben</t>
  </si>
  <si>
    <t>Die Platzhalter im Dokument definieren</t>
  </si>
  <si>
    <t>Die Platzhalter in die Datentabelle auslesen</t>
  </si>
  <si>
    <t>Die Datentabelle mit Daten befüllen</t>
  </si>
  <si>
    <t>Ablageordner definieren</t>
  </si>
  <si>
    <t>Erstellung starten</t>
  </si>
  <si>
    <t>Namenmuster definieren</t>
  </si>
  <si>
    <t>&lt;Index&gt;</t>
  </si>
  <si>
    <t>Code</t>
  </si>
  <si>
    <t>ControlName</t>
  </si>
  <si>
    <t>Frame_Step1</t>
  </si>
  <si>
    <t>English</t>
  </si>
  <si>
    <t>German</t>
  </si>
  <si>
    <t>Russian</t>
  </si>
  <si>
    <t>1. Den Pfad zum Formular angeben</t>
  </si>
  <si>
    <t>1. Выбор шаблона Word</t>
  </si>
  <si>
    <t>1.Select the Word template</t>
  </si>
  <si>
    <t>CommandButton_SelectPath</t>
  </si>
  <si>
    <t>2. Die Platzhalter im Dokument definieren</t>
  </si>
  <si>
    <t>2. Задать переменные в шаблоне</t>
  </si>
  <si>
    <t>2. Create placeholders in the Word doc</t>
  </si>
  <si>
    <t>Frame_Step2</t>
  </si>
  <si>
    <t>Auswaehlen</t>
  </si>
  <si>
    <t>Выбрать</t>
  </si>
  <si>
    <t>Select</t>
  </si>
  <si>
    <t>CommandButton_Step1_Clear</t>
  </si>
  <si>
    <t>Loeschen</t>
  </si>
  <si>
    <t>Очистить</t>
  </si>
  <si>
    <t>Clear</t>
  </si>
  <si>
    <t>OptionButton_Step2_Done</t>
  </si>
  <si>
    <t>Fertig</t>
  </si>
  <si>
    <t>Готово</t>
  </si>
  <si>
    <t>OptionButton_Step2_Undone</t>
  </si>
  <si>
    <t>Nicht fertig</t>
  </si>
  <si>
    <t>Не готово</t>
  </si>
  <si>
    <t>Undone</t>
  </si>
  <si>
    <t>CommandButton_OpenDoc</t>
  </si>
  <si>
    <t>Formular öffnen</t>
  </si>
  <si>
    <t>Открыть шаблон</t>
  </si>
  <si>
    <t>Open Template</t>
  </si>
  <si>
    <t>Label_Step2_Note</t>
  </si>
  <si>
    <t>*Haendischer Schritt</t>
  </si>
  <si>
    <t>*Прописываются вручную</t>
  </si>
  <si>
    <t>*Write manually</t>
  </si>
  <si>
    <t>3. Die Platzhalter in die Datentabelle auslesen</t>
  </si>
  <si>
    <t>Frame_Step3</t>
  </si>
  <si>
    <t>3. Import synchronize placeholders</t>
  </si>
  <si>
    <t>3. Синхронизировать переменные</t>
  </si>
  <si>
    <t>CommandButton_ReadPlaceholders</t>
  </si>
  <si>
    <t>CommandButton_Step3_Clear</t>
  </si>
  <si>
    <t>Auslesen</t>
  </si>
  <si>
    <t>Синхронизировать</t>
  </si>
  <si>
    <t>Synchronize</t>
  </si>
  <si>
    <t>Frame_Step4</t>
  </si>
  <si>
    <t>4. Die Datentabelle mit Daten befuellen</t>
  </si>
  <si>
    <t>4. Заполнение таблицы данными</t>
  </si>
  <si>
    <t>4. Fill the table with data</t>
  </si>
  <si>
    <t>OptionButton_Step4_Done</t>
  </si>
  <si>
    <t>OptionButton_Step4_Undone</t>
  </si>
  <si>
    <t>Label_Step4_Note</t>
  </si>
  <si>
    <t>**Haendischer Schritt</t>
  </si>
  <si>
    <t>**Данные прописываются вручную</t>
  </si>
  <si>
    <t>**Write data manually</t>
  </si>
  <si>
    <t>Frame_Step5</t>
  </si>
  <si>
    <t>5. Ablageordner definieren</t>
  </si>
  <si>
    <t>5. Задать папку для сохранения файлов</t>
  </si>
  <si>
    <t>5. Define the folder where docs should be saved</t>
  </si>
  <si>
    <t>CommandButton_Step5_GetFolderPath</t>
  </si>
  <si>
    <t>CommandButton_Step5_Clear</t>
  </si>
  <si>
    <t>Frame_Step6</t>
  </si>
  <si>
    <t>6. Namenmuster definieren</t>
  </si>
  <si>
    <t>6. Define name template</t>
  </si>
  <si>
    <t>6. Задать шаблон названия файлов</t>
  </si>
  <si>
    <t>CommandButton_Step6_Actualize</t>
  </si>
  <si>
    <t>CommandButton_Step6_Clear</t>
  </si>
  <si>
    <t>Speichern</t>
  </si>
  <si>
    <t>Сохранить</t>
  </si>
  <si>
    <t>Save</t>
  </si>
  <si>
    <t>Label_Step6_Note</t>
  </si>
  <si>
    <t>***Используйте &lt;переменные&gt;</t>
  </si>
  <si>
    <t>***Nutzen Sie bitte die &lt;Platzhalter!&gt;</t>
  </si>
  <si>
    <t>***Use the &lt;placeholders&gt; please!</t>
  </si>
  <si>
    <t>CommandButton_Start</t>
  </si>
  <si>
    <t>CommandButton_Close</t>
  </si>
  <si>
    <t>Создать файлы</t>
  </si>
  <si>
    <t>Save files</t>
  </si>
  <si>
    <t>Sprache</t>
  </si>
  <si>
    <t>Language is set to German on default during the development</t>
  </si>
  <si>
    <t>WhereUsed</t>
  </si>
  <si>
    <t>UF_Dashboard</t>
  </si>
  <si>
    <t>Dashboard</t>
  </si>
  <si>
    <t>Start Button</t>
  </si>
  <si>
    <t>Tool öffnen</t>
  </si>
  <si>
    <t>Open Tool</t>
  </si>
  <si>
    <t>Открыть программу</t>
  </si>
  <si>
    <t>Button</t>
  </si>
  <si>
    <t>Caption</t>
  </si>
  <si>
    <t>Start button</t>
  </si>
  <si>
    <t>CodeNumberInDict</t>
  </si>
  <si>
    <t>Instructions</t>
  </si>
  <si>
    <t>Anleitung</t>
  </si>
  <si>
    <t>Руководство</t>
  </si>
  <si>
    <t>Document Automation Tool v. 1.0.</t>
  </si>
  <si>
    <t>Placeholders</t>
  </si>
  <si>
    <t>Platzhalter zum Befüllen</t>
  </si>
  <si>
    <t>Переменные к заполнению</t>
  </si>
  <si>
    <t>Placeholders to be filled</t>
  </si>
  <si>
    <t>Three Languages available: German, Russian, English</t>
  </si>
  <si>
    <t>Messages</t>
  </si>
  <si>
    <t>Word was opened</t>
  </si>
  <si>
    <t>Clear Placeholders</t>
  </si>
  <si>
    <t>Alle vorhandenen Platzhalter sowie die schon eingetragenen Daten werden geloescht! Fortfahren?</t>
  </si>
  <si>
    <t>All data from the table as well as the available placeholders will be deleted! Continue?</t>
  </si>
  <si>
    <t>Select file</t>
  </si>
  <si>
    <t>Template not selected</t>
  </si>
  <si>
    <t>No template was selected</t>
  </si>
  <si>
    <t>Kein Formular wurde gewaehlt!</t>
  </si>
  <si>
    <t>Шаблон не был выбран!</t>
  </si>
  <si>
    <t>Write name Template</t>
  </si>
  <si>
    <t>Geben Sie bitte als erstes das Namenmuster an!</t>
  </si>
  <si>
    <t>Пожалуйста, сперва укажите шаблон имени файла!</t>
  </si>
  <si>
    <t>Please write the name template first!</t>
  </si>
  <si>
    <t>Aks ready to start</t>
  </si>
  <si>
    <t>Moechten Sie die Erstellung von Unterlagen starten?</t>
  </si>
  <si>
    <t>Начать создание документов?</t>
  </si>
  <si>
    <t>Do you want to start the document creation?</t>
  </si>
  <si>
    <t>Successful work</t>
  </si>
  <si>
    <t>Alle Dokumente wurden erfolgreich erstellt! Es oeffnet sich jetzt der Ablageordner</t>
  </si>
  <si>
    <t>All documents were successfully created. The storage folder will be opened now</t>
  </si>
  <si>
    <t>Пожалуйста, выберите шаблон!</t>
  </si>
  <si>
    <t>Bitte waehlen Sie die Vorlage aus!</t>
  </si>
  <si>
    <t>Please select the template!</t>
  </si>
  <si>
    <t>Write name Template 2</t>
  </si>
  <si>
    <t>Geben Sie bitte das Namenmuster an!</t>
  </si>
  <si>
    <t>Пожалуйста, укажите шаблон имени файла!</t>
  </si>
  <si>
    <t>Please write the name template!</t>
  </si>
  <si>
    <t>\ / : * ? | sowie &lt; &gt; ausserhalb der variablen Platzhalter</t>
  </si>
  <si>
    <t>File Name Rule Part1</t>
  </si>
  <si>
    <t>File Name Rule Part2</t>
  </si>
  <si>
    <t>File Name Rule Part3</t>
  </si>
  <si>
    <t>Имя файла не должно содержать следующих символов:</t>
  </si>
  <si>
    <t>\ / : * ? | и &lt; &gt; за исключением указания переменных</t>
  </si>
  <si>
    <t>File names can't have the following symbols:</t>
  </si>
  <si>
    <t>Please correct the name template (Please check also if all used placeholders exist in the file template)</t>
  </si>
  <si>
    <t>Korrigieren Sie bitten das Namenmuster! (Ueberpruefen Sie bitte auch, ob alle genutzten Platzhalter in der Vorlagedatei existieren!)</t>
  </si>
  <si>
    <t>Name Template not saved yet</t>
  </si>
  <si>
    <t>Dieses Namenmuster ist noch nicht gespeichert! Speichern?</t>
  </si>
  <si>
    <t>This name Template is not saved yet! Should it be saved?</t>
  </si>
  <si>
    <t>Этот шаблон названия файла еще не сохранён! Сохранить?</t>
  </si>
  <si>
    <t>Dateinamen muss keine der folgenden Symbole beinhalten:</t>
  </si>
  <si>
    <t>Пожалуйста, внесите поправки в шаблон названия (также проверьте, все ли использованные переменные присутствуют в файле-шаблоне)</t>
  </si>
  <si>
    <t>Все документы были успешно созданы. Сейчас будет открыта папка с сохранёнными экземплярами</t>
  </si>
  <si>
    <t>Все внесённые в таблицу данные, а также имеющиеся переменные будут стёрты! Продолжить?</t>
  </si>
  <si>
    <t>Файл Microsoft Word был открыт!</t>
  </si>
  <si>
    <t>Vorlagedatei im Microsoft Word wurde geoeffnet!</t>
  </si>
  <si>
    <t>Microsoft Word Template was opened!</t>
  </si>
  <si>
    <t>\ / : * ? | as well as &lt; &gt; outside of using it with placeholders</t>
  </si>
  <si>
    <t>Schliessen</t>
  </si>
  <si>
    <t>Закрыть</t>
  </si>
  <si>
    <t>Close</t>
  </si>
  <si>
    <t>SpecialSymbols</t>
  </si>
  <si>
    <t>Speziale Symbole zum schnellen Kopieren</t>
  </si>
  <si>
    <t>Специальные символы для копирования</t>
  </si>
  <si>
    <t>Special sybmols to copy</t>
  </si>
  <si>
    <t>Check Box</t>
  </si>
  <si>
    <t>First variant</t>
  </si>
  <si>
    <t>Second variant</t>
  </si>
  <si>
    <t>Third variant</t>
  </si>
  <si>
    <t>Erste Variante</t>
  </si>
  <si>
    <t>Zweite Variante</t>
  </si>
  <si>
    <t>Dritte Variante</t>
  </si>
  <si>
    <t>Первый вариант</t>
  </si>
  <si>
    <t>Второй вариант</t>
  </si>
  <si>
    <t>Третий вариант</t>
  </si>
  <si>
    <t>☐</t>
  </si>
  <si>
    <t>☒</t>
  </si>
  <si>
    <t>☑</t>
  </si>
  <si>
    <t>Is DT Column called SpalteN in German?</t>
  </si>
  <si>
    <t>TO DOs:</t>
  </si>
  <si>
    <t>UF_Instructions</t>
  </si>
  <si>
    <t>Das ist eine Perpetual-Beta-basierte Software. Das heisst, das Programm ist in der staendigen Entwicklung.</t>
  </si>
  <si>
    <t>Zurzeit ist die Anleitung zum Programm noch nicht fertig und werden hier in spaeteren Versionen erscheinen.</t>
  </si>
  <si>
    <t>Bei Fragen und Wuenschen wenden Sie sich bitte an: Bilyal Khassenov</t>
  </si>
  <si>
    <t>Mindestanforderungen fuer die Anwendung des Programms:</t>
  </si>
  <si>
    <t>- Windows-System</t>
  </si>
  <si>
    <t>- Microsoft Excel 16.0 Object Library</t>
  </si>
  <si>
    <t xml:space="preserve">Данная программа разрабатывается на основе принципа Perpetual-Beta, то есть находится в постоянной разработке. </t>
  </si>
  <si>
    <t>С вопросами и пожеланиями обращайтесь к автору: Хасенов Билял, moreefficientexc@gmail.com</t>
  </si>
  <si>
    <t>Минимальные требования к системе:</t>
  </si>
  <si>
    <t>- Система Windows</t>
  </si>
  <si>
    <t>This is a Perpetual beta version of this software.</t>
  </si>
  <si>
    <t>Currently, the use instructions are not ready. They will be publicized here at a later moment.</t>
  </si>
  <si>
    <t>Minimal system requirements:</t>
  </si>
  <si>
    <t>- Windows System</t>
  </si>
  <si>
    <t>Label_Line1</t>
  </si>
  <si>
    <t>Label_Line2</t>
  </si>
  <si>
    <t>Label_Line3</t>
  </si>
  <si>
    <t>Label_Line4</t>
  </si>
  <si>
    <t>Label_Line5</t>
  </si>
  <si>
    <t>Label_Line6</t>
  </si>
  <si>
    <t xml:space="preserve">На данный момент руководство к программе еще не готово и появится в следующих версиях. </t>
  </si>
  <si>
    <t>With questions and wishes please contact the author: Bilyal Khassenov</t>
  </si>
  <si>
    <t>C:\Users\User\Documents\0 - DOO Crna Gora\0 - Auto fill documents\6 - Izjava likvidacija\Шаблон Izjava likvidacija.doc</t>
  </si>
  <si>
    <t>&lt;Prezime&gt;</t>
  </si>
  <si>
    <t>&lt;Ime&gt;</t>
  </si>
  <si>
    <t>&lt;Putna isprava&gt;</t>
  </si>
  <si>
    <t>&lt;Naziv DOO&gt;</t>
  </si>
  <si>
    <t>&lt;Grad&gt;</t>
  </si>
  <si>
    <t>Last time updated: 09.04.2024 10:46:52</t>
  </si>
  <si>
    <t>C:\Users\User\Documents\0 - DOO Crna Gora\0 - Auto fill documents\6 - Izjava likvidacija\Готовые Izjava likvidacija</t>
  </si>
  <si>
    <t>Izjava likvidacija &lt;Prezime&gt; &lt;Ime&gt; &lt;Naziv DOO&gt;</t>
  </si>
  <si>
    <t>Kozhina</t>
  </si>
  <si>
    <t>Oksana</t>
  </si>
  <si>
    <t>75 3483650</t>
  </si>
  <si>
    <t>DIVI.EVENT STUDIO ITD</t>
  </si>
  <si>
    <t>Budva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</si>
</sst>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i/>
      <sz val="2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/>
    <xf numFmtId="0" fontId="2" fillId="0" borderId="0" xfId="0" applyFont="1"/>
    <xf numFmtId="0" fontId="3" fillId="0" borderId="0" xfId="0" applyFont="1" applyAlignment="1">
      <alignment horizontal="left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7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Открыть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Руководство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F9EDB4-6F5D-40F2-BF2E-FDF327B3C65C}" name="Table_Data" displayName="Table_Data" ref="B17:G18" totalsRowShown="0" dataDxfId="6">
  <autoFilter ref="B17:G18" xr:uid="{CD263153-0E65-4117-800F-3D4550047395}"/>
  <tableColumns count="6">
    <tableColumn id="1" xr3:uid="{E6997D97-B3C7-497F-94CA-FF00621C6851}" name="&lt;Index&gt;" dataDxfId="5"/>
    <tableColumn id="2" xr3:uid="{17AC5FA1-8CF2-4BCE-939D-9C6B0C625B42}" name="&lt;Prezime&gt;" dataDxfId="4"/>
    <tableColumn id="3" xr3:uid="{0AFE6CEA-02CD-4986-B63C-912419602301}" name="&lt;Ime&gt;" dataDxfId="3"/>
    <tableColumn id="4" xr3:uid="{72190F5B-5634-410C-903C-B3901EE44023}" name="&lt;Putna isprava&gt;" dataDxfId="2"/>
    <tableColumn id="5" xr3:uid="{7A32A0EE-EDD8-4D3F-988A-456AA6E78731}" name="&lt;Naziv DOO&gt;" dataDxfId="1"/>
    <tableColumn id="6" xr3:uid="{88736214-F99C-4547-9343-CEB75E49B9D3}" name="&lt;Grad&gt;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9ABD8D-BAEA-4ED2-9930-ABACB66430DB}" name="Table_Techs" displayName="Table_Techs" ref="B2:E10" totalsRowShown="0">
  <autoFilter ref="B2:E10" xr:uid="{CC884692-81D1-4301-8C2A-479D5B62591E}"/>
  <tableColumns count="4">
    <tableColumn id="1" xr3:uid="{4E2801D4-67EF-430B-A1F6-1506AD56B796}" name="Index"/>
    <tableColumn id="2" xr3:uid="{598D1775-DC5A-48B4-833C-62662F612426}" name="Step"/>
    <tableColumn id="3" xr3:uid="{347C1D36-E50A-4415-AE44-B0C88115F5A5}" name="Value"/>
    <tableColumn id="4" xr3:uid="{046E67E4-8D65-4B1E-9B12-7261197F355D}" name="Don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B74BCA-121F-4E54-8A64-DD071601CA04}" name="Table_Languages" displayName="Table_Languages" ref="G2:L51" totalsRowShown="0">
  <autoFilter ref="G2:L51" xr:uid="{48A2972A-E22F-4B59-9BC4-019446BA36B8}"/>
  <tableColumns count="6">
    <tableColumn id="1" xr3:uid="{24C9BE76-2D6A-43D4-89FD-7B6B9B6C0867}" name="Code"/>
    <tableColumn id="2" xr3:uid="{EA5A457C-AB8E-4E53-9F17-C9E52971F78F}" name="ControlName"/>
    <tableColumn id="3" xr3:uid="{582406A4-292C-428C-92A0-8AFD52CE848E}" name="German"/>
    <tableColumn id="4" xr3:uid="{A5963E46-BD72-4BD7-8364-F6F6DFB69D30}" name="Russian"/>
    <tableColumn id="5" xr3:uid="{CFFF4ADA-6459-4367-AB90-87D55023F77C}" name="English"/>
    <tableColumn id="6" xr3:uid="{91655D64-05EB-4D8B-8473-01E90864A5E0}" name="WhereUs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4D9009-0CFE-4607-A707-BCBB886F6D36}" name="Table_ButtonsLangs" displayName="Table_ButtonsLangs" ref="N2:P9" totalsRowShown="0">
  <autoFilter ref="N2:P9" xr:uid="{2012A6AF-C639-410E-AF28-3E0C27AAB3D6}"/>
  <tableColumns count="3">
    <tableColumn id="1" xr3:uid="{B967489F-CADC-47A1-9049-492C8B3FA4FE}" name="Button"/>
    <tableColumn id="3" xr3:uid="{25B397BE-90DF-49B3-B5D7-C93A7A5E5B20}" name="CodeNumberInDict"/>
    <tableColumn id="2" xr3:uid="{69E655EF-4FB8-4983-9DAA-0DF90EDE63FF}" name="Caption">
      <calculatedColumnFormula>INDEX(Table_Languages[],MATCH(Table_ButtonsLangs[[#This Row],[CodeNumberInDict]],Table_Languages[Code],0),MATCH(INDEX(Table_Techs[],MATCH(8,Table_Techs[Index],0),MATCH("Value",Table_Techs[#Headers],0)),Table_Languages[#Headers],0))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6FCF9-E789-4E8D-B869-60C349FED85F}">
  <sheetPr codeName="Sheet1"/>
  <dimension ref="B1:G18"/>
  <sheetViews>
    <sheetView showGridLines="0" tabSelected="1" workbookViewId="0">
      <selection activeCell="C18" sqref="C18:G18"/>
    </sheetView>
  </sheetViews>
  <sheetFormatPr defaultRowHeight="14.4" x14ac:dyDescent="0.3"/>
  <cols>
    <col min="1" max="1" width="5" customWidth="1"/>
    <col min="2" max="2" width="10.109375" customWidth="1"/>
    <col min="3" max="5" width="20.88671875" customWidth="1"/>
    <col min="6" max="6" width="19.33203125" bestFit="1" customWidth="1"/>
    <col min="7" max="7" width="21" bestFit="1" customWidth="1"/>
    <col min="8" max="16" width="20.44140625" customWidth="1"/>
  </cols>
  <sheetData>
    <row r="1" spans="2:5" x14ac:dyDescent="0.3">
      <c r="B1" s="1"/>
    </row>
    <row r="2" spans="2:5" ht="25.8" x14ac:dyDescent="0.5">
      <c r="B2" s="5" t="s">
        <v>106</v>
      </c>
    </row>
    <row r="3" spans="2:5" x14ac:dyDescent="0.3">
      <c r="B3" s="1"/>
    </row>
    <row r="4" spans="2:5" x14ac:dyDescent="0.3">
      <c r="B4" s="1"/>
    </row>
    <row r="11" spans="2:5" ht="25.8" x14ac:dyDescent="0.5">
      <c r="B11" s="5" t="str">
        <f>TechSheet!P16</f>
        <v>Специальные символы для копирования</v>
      </c>
    </row>
    <row r="12" spans="2:5" x14ac:dyDescent="0.3">
      <c r="C12" s="7" t="str">
        <f>IF(C13&lt;&gt;"",TechSheet!P17,"")</f>
        <v>Первый вариант</v>
      </c>
      <c r="D12" s="7" t="str">
        <f>IF(D13&lt;&gt;"",TechSheet!P18,"")</f>
        <v>Второй вариант</v>
      </c>
      <c r="E12" s="7" t="str">
        <f>IF(E13&lt;&gt;"",TechSheet!P19,"")</f>
        <v>Третий вариант</v>
      </c>
    </row>
    <row r="13" spans="2:5" x14ac:dyDescent="0.3">
      <c r="B13" s="6" t="s">
        <v>168</v>
      </c>
      <c r="C13" s="8" t="s">
        <v>178</v>
      </c>
      <c r="D13" s="8" t="s">
        <v>179</v>
      </c>
      <c r="E13" s="8" t="s">
        <v>180</v>
      </c>
    </row>
    <row r="16" spans="2:5" ht="25.8" x14ac:dyDescent="0.5">
      <c r="B16" s="5" t="str">
        <f>TechSheet!P15</f>
        <v>Переменные к заполнению</v>
      </c>
    </row>
    <row r="17" spans="2:7" x14ac:dyDescent="0.3">
      <c r="B17" t="s">
        <v>11</v>
      </c>
      <c r="C17" t="s">
        <v>207</v>
      </c>
      <c r="D17" t="s">
        <v>208</v>
      </c>
      <c r="E17" t="s">
        <v>209</v>
      </c>
      <c r="F17" t="s">
        <v>210</v>
      </c>
      <c r="G17" t="s">
        <v>211</v>
      </c>
    </row>
    <row r="18" spans="2:7" x14ac:dyDescent="0.3">
      <c r="B18" s="2">
        <v>1</v>
      </c>
      <c r="C18" s="2" t="s">
        <v>215</v>
      </c>
      <c r="D18" s="2" t="s">
        <v>216</v>
      </c>
      <c r="E18" s="2" t="s">
        <v>217</v>
      </c>
      <c r="F18" s="2" t="s">
        <v>218</v>
      </c>
      <c r="G18" s="2" t="s">
        <v>219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TheForm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TheInstuction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BB815-63E8-4FBD-8A19-E3CDB2EDC879}">
  <sheetPr codeName="Sheet3"/>
  <dimension ref="B1:P51"/>
  <sheetViews>
    <sheetView showGridLines="0" workbookViewId="0"/>
  </sheetViews>
  <sheetFormatPr defaultRowHeight="14.4" x14ac:dyDescent="0.3"/>
  <cols>
    <col min="2" max="2" width="8.33203125" bestFit="1" customWidth="1"/>
    <col min="3" max="3" width="40.6640625" bestFit="1" customWidth="1"/>
    <col min="4" max="4" width="26.88671875" customWidth="1"/>
    <col min="5" max="5" width="37" customWidth="1"/>
    <col min="6" max="6" width="3.6640625" customWidth="1"/>
    <col min="8" max="8" width="24" customWidth="1"/>
    <col min="9" max="11" width="17.88671875" customWidth="1"/>
    <col min="12" max="12" width="14" bestFit="1" customWidth="1"/>
    <col min="13" max="13" width="3.109375" customWidth="1"/>
    <col min="14" max="14" width="17.33203125" customWidth="1"/>
    <col min="15" max="15" width="12.6640625" customWidth="1"/>
    <col min="16" max="16" width="19.5546875" bestFit="1" customWidth="1"/>
  </cols>
  <sheetData>
    <row r="1" spans="2:16" x14ac:dyDescent="0.3">
      <c r="N1" t="s">
        <v>91</v>
      </c>
    </row>
    <row r="2" spans="2:16" x14ac:dyDescent="0.3">
      <c r="B2" t="s">
        <v>0</v>
      </c>
      <c r="C2" t="s">
        <v>1</v>
      </c>
      <c r="D2" t="s">
        <v>2</v>
      </c>
      <c r="E2" t="s">
        <v>3</v>
      </c>
      <c r="G2" t="s">
        <v>12</v>
      </c>
      <c r="H2" t="s">
        <v>13</v>
      </c>
      <c r="I2" t="s">
        <v>16</v>
      </c>
      <c r="J2" t="s">
        <v>17</v>
      </c>
      <c r="K2" t="s">
        <v>15</v>
      </c>
      <c r="L2" t="s">
        <v>92</v>
      </c>
      <c r="N2" t="s">
        <v>99</v>
      </c>
      <c r="O2" t="s">
        <v>102</v>
      </c>
      <c r="P2" t="s">
        <v>100</v>
      </c>
    </row>
    <row r="3" spans="2:16" x14ac:dyDescent="0.3">
      <c r="B3">
        <v>1</v>
      </c>
      <c r="C3" t="s">
        <v>4</v>
      </c>
      <c r="D3" t="s">
        <v>206</v>
      </c>
      <c r="G3">
        <v>1</v>
      </c>
      <c r="H3" t="s">
        <v>14</v>
      </c>
      <c r="I3" t="s">
        <v>18</v>
      </c>
      <c r="J3" t="s">
        <v>19</v>
      </c>
      <c r="K3" t="s">
        <v>20</v>
      </c>
      <c r="L3" t="s">
        <v>93</v>
      </c>
      <c r="N3" t="s">
        <v>101</v>
      </c>
      <c r="O3">
        <v>25</v>
      </c>
      <c r="P3" s="3" t="str">
        <f>INDEX(Table_Languages[],MATCH(Table_ButtonsLangs[[#This Row],[CodeNumberInDict]],Table_Languages[Code],0),MATCH(INDEX(Table_Techs[],MATCH(8,Table_Techs[Index],0),MATCH("Value",Table_Techs[#Headers],0)),Table_Languages[#Headers],0))</f>
        <v>Открыть программу</v>
      </c>
    </row>
    <row r="4" spans="2:16" x14ac:dyDescent="0.3">
      <c r="B4">
        <v>2</v>
      </c>
      <c r="C4" t="s">
        <v>5</v>
      </c>
      <c r="G4">
        <v>2</v>
      </c>
      <c r="H4" t="s">
        <v>21</v>
      </c>
      <c r="I4" t="s">
        <v>26</v>
      </c>
      <c r="J4" t="s">
        <v>27</v>
      </c>
      <c r="K4" t="s">
        <v>28</v>
      </c>
      <c r="L4" t="s">
        <v>93</v>
      </c>
      <c r="N4" t="s">
        <v>103</v>
      </c>
      <c r="O4">
        <v>26</v>
      </c>
      <c r="P4" t="str">
        <f>INDEX(Table_Languages[],MATCH(Table_ButtonsLangs[[#This Row],[CodeNumberInDict]],Table_Languages[Code],0),MATCH(INDEX(Table_Techs[],MATCH(8,Table_Techs[Index],0),MATCH("Value",Table_Techs[#Headers],0)),Table_Languages[#Headers],0))</f>
        <v>Руководство</v>
      </c>
    </row>
    <row r="5" spans="2:16" x14ac:dyDescent="0.3">
      <c r="B5">
        <v>3</v>
      </c>
      <c r="C5" t="s">
        <v>6</v>
      </c>
      <c r="D5" t="s">
        <v>212</v>
      </c>
      <c r="G5">
        <v>3</v>
      </c>
      <c r="H5" t="s">
        <v>29</v>
      </c>
      <c r="I5" t="s">
        <v>30</v>
      </c>
      <c r="J5" t="s">
        <v>31</v>
      </c>
      <c r="K5" t="s">
        <v>32</v>
      </c>
      <c r="L5" t="s">
        <v>93</v>
      </c>
      <c r="N5" t="s">
        <v>107</v>
      </c>
      <c r="O5">
        <v>27</v>
      </c>
      <c r="P5" t="str">
        <f>INDEX(Table_Languages[],MATCH(Table_ButtonsLangs[[#This Row],[CodeNumberInDict]],Table_Languages[Code],0),MATCH(INDEX(Table_Techs[],MATCH(8,Table_Techs[Index],0),MATCH("Value",Table_Techs[#Headers],0)),Table_Languages[#Headers],0))</f>
        <v>Переменные к заполнению</v>
      </c>
    </row>
    <row r="6" spans="2:16" x14ac:dyDescent="0.3">
      <c r="B6">
        <v>4</v>
      </c>
      <c r="C6" t="s">
        <v>7</v>
      </c>
      <c r="G6">
        <v>4</v>
      </c>
      <c r="H6" t="s">
        <v>25</v>
      </c>
      <c r="I6" t="s">
        <v>22</v>
      </c>
      <c r="J6" t="s">
        <v>23</v>
      </c>
      <c r="K6" t="s">
        <v>24</v>
      </c>
      <c r="L6" t="s">
        <v>93</v>
      </c>
      <c r="N6" t="s">
        <v>164</v>
      </c>
      <c r="O6">
        <v>40</v>
      </c>
      <c r="P6" t="str">
        <f>INDEX(Table_Languages[],MATCH(Table_ButtonsLangs[[#This Row],[CodeNumberInDict]],Table_Languages[Code],0),MATCH(INDEX(Table_Techs[],MATCH(8,Table_Techs[Index],0),MATCH("Value",Table_Techs[#Headers],0)),Table_Languages[#Headers],0))</f>
        <v>Специальные символы для копирования</v>
      </c>
    </row>
    <row r="7" spans="2:16" x14ac:dyDescent="0.3">
      <c r="B7">
        <v>5</v>
      </c>
      <c r="C7" t="s">
        <v>8</v>
      </c>
      <c r="D7" t="s">
        <v>213</v>
      </c>
      <c r="G7">
        <v>5</v>
      </c>
      <c r="H7" t="s">
        <v>33</v>
      </c>
      <c r="I7" t="s">
        <v>34</v>
      </c>
      <c r="J7" t="s">
        <v>35</v>
      </c>
      <c r="K7" t="s">
        <v>3</v>
      </c>
      <c r="L7" t="s">
        <v>93</v>
      </c>
      <c r="N7" t="s">
        <v>169</v>
      </c>
      <c r="O7">
        <v>41</v>
      </c>
      <c r="P7" t="str">
        <f>INDEX(Table_Languages[],MATCH(Table_ButtonsLangs[[#This Row],[CodeNumberInDict]],Table_Languages[Code],0),MATCH(INDEX(Table_Techs[],MATCH(8,Table_Techs[Index],0),MATCH("Value",Table_Techs[#Headers],0)),Table_Languages[#Headers],0))</f>
        <v>Первый вариант</v>
      </c>
    </row>
    <row r="8" spans="2:16" x14ac:dyDescent="0.3">
      <c r="B8">
        <v>6</v>
      </c>
      <c r="C8" t="s">
        <v>10</v>
      </c>
      <c r="D8" t="s">
        <v>214</v>
      </c>
      <c r="G8">
        <v>6</v>
      </c>
      <c r="H8" t="s">
        <v>36</v>
      </c>
      <c r="I8" t="s">
        <v>37</v>
      </c>
      <c r="J8" t="s">
        <v>38</v>
      </c>
      <c r="K8" t="s">
        <v>39</v>
      </c>
      <c r="L8" t="s">
        <v>93</v>
      </c>
      <c r="N8" t="s">
        <v>170</v>
      </c>
      <c r="O8">
        <v>42</v>
      </c>
      <c r="P8" t="str">
        <f>INDEX(Table_Languages[],MATCH(Table_ButtonsLangs[[#This Row],[CodeNumberInDict]],Table_Languages[Code],0),MATCH(INDEX(Table_Techs[],MATCH(8,Table_Techs[Index],0),MATCH("Value",Table_Techs[#Headers],0)),Table_Languages[#Headers],0))</f>
        <v>Второй вариант</v>
      </c>
    </row>
    <row r="9" spans="2:16" x14ac:dyDescent="0.3">
      <c r="B9">
        <v>7</v>
      </c>
      <c r="C9" t="s">
        <v>9</v>
      </c>
      <c r="G9">
        <v>7</v>
      </c>
      <c r="H9" t="s">
        <v>40</v>
      </c>
      <c r="I9" t="s">
        <v>41</v>
      </c>
      <c r="J9" t="s">
        <v>42</v>
      </c>
      <c r="K9" t="s">
        <v>43</v>
      </c>
      <c r="L9" t="s">
        <v>93</v>
      </c>
      <c r="N9" t="s">
        <v>171</v>
      </c>
      <c r="O9">
        <v>43</v>
      </c>
      <c r="P9" t="str">
        <f>INDEX(Table_Languages[],MATCH(Table_ButtonsLangs[[#This Row],[CodeNumberInDict]],Table_Languages[Code],0),MATCH(INDEX(Table_Techs[],MATCH(8,Table_Techs[Index],0),MATCH("Value",Table_Techs[#Headers],0)),Table_Languages[#Headers],0))</f>
        <v>Третий вариант</v>
      </c>
    </row>
    <row r="10" spans="2:16" x14ac:dyDescent="0.3">
      <c r="B10">
        <v>8</v>
      </c>
      <c r="C10" t="s">
        <v>90</v>
      </c>
      <c r="D10" t="s">
        <v>17</v>
      </c>
      <c r="G10">
        <v>8</v>
      </c>
      <c r="H10" t="s">
        <v>44</v>
      </c>
      <c r="I10" t="s">
        <v>45</v>
      </c>
      <c r="J10" t="s">
        <v>46</v>
      </c>
      <c r="K10" t="s">
        <v>47</v>
      </c>
      <c r="L10" t="s">
        <v>93</v>
      </c>
    </row>
    <row r="11" spans="2:16" x14ac:dyDescent="0.3">
      <c r="G11">
        <v>9</v>
      </c>
      <c r="H11" t="s">
        <v>49</v>
      </c>
      <c r="I11" t="s">
        <v>48</v>
      </c>
      <c r="J11" t="s">
        <v>51</v>
      </c>
      <c r="K11" t="s">
        <v>50</v>
      </c>
      <c r="L11" t="s">
        <v>93</v>
      </c>
    </row>
    <row r="12" spans="2:16" x14ac:dyDescent="0.3">
      <c r="G12">
        <v>10</v>
      </c>
      <c r="H12" t="s">
        <v>52</v>
      </c>
      <c r="I12" t="s">
        <v>54</v>
      </c>
      <c r="J12" t="s">
        <v>55</v>
      </c>
      <c r="K12" t="s">
        <v>56</v>
      </c>
      <c r="L12" t="s">
        <v>93</v>
      </c>
    </row>
    <row r="13" spans="2:16" x14ac:dyDescent="0.3">
      <c r="G13">
        <v>11</v>
      </c>
      <c r="H13" t="s">
        <v>53</v>
      </c>
      <c r="I13" t="s">
        <v>30</v>
      </c>
      <c r="J13" t="s">
        <v>31</v>
      </c>
      <c r="K13" t="s">
        <v>32</v>
      </c>
      <c r="L13" t="s">
        <v>93</v>
      </c>
      <c r="N13" t="s">
        <v>101</v>
      </c>
      <c r="O13">
        <f>INDEX(Table_ButtonsLangs[],MATCH(N13,Table_ButtonsLangs[Button],0),MATCH("CodeNumberInDict",Table_ButtonsLangs[#Headers],0))</f>
        <v>25</v>
      </c>
      <c r="P13" t="str">
        <f>INDEX(Table_ButtonsLangs[],MATCH(N13,Table_ButtonsLangs[Button],0),MATCH("Caption",Table_ButtonsLangs[#Headers],0))</f>
        <v>Открыть программу</v>
      </c>
    </row>
    <row r="14" spans="2:16" x14ac:dyDescent="0.3">
      <c r="G14">
        <v>12</v>
      </c>
      <c r="H14" t="s">
        <v>57</v>
      </c>
      <c r="I14" t="s">
        <v>58</v>
      </c>
      <c r="J14" t="s">
        <v>59</v>
      </c>
      <c r="K14" t="s">
        <v>60</v>
      </c>
      <c r="L14" t="s">
        <v>93</v>
      </c>
      <c r="N14" t="s">
        <v>103</v>
      </c>
      <c r="O14">
        <f>INDEX(Table_ButtonsLangs[],MATCH(N14,Table_ButtonsLangs[Button],0),MATCH("CodeNumberInDict",Table_ButtonsLangs[#Headers],0))</f>
        <v>26</v>
      </c>
      <c r="P14" t="str">
        <f>INDEX(Table_ButtonsLangs[],MATCH(N14,Table_ButtonsLangs[Button],0),MATCH("Caption",Table_ButtonsLangs[#Headers],0))</f>
        <v>Руководство</v>
      </c>
    </row>
    <row r="15" spans="2:16" x14ac:dyDescent="0.3">
      <c r="G15">
        <v>13</v>
      </c>
      <c r="H15" t="s">
        <v>61</v>
      </c>
      <c r="I15" t="s">
        <v>34</v>
      </c>
      <c r="J15" t="s">
        <v>35</v>
      </c>
      <c r="K15" t="s">
        <v>3</v>
      </c>
      <c r="L15" t="s">
        <v>93</v>
      </c>
      <c r="N15" t="s">
        <v>107</v>
      </c>
      <c r="O15">
        <f>INDEX(Table_ButtonsLangs[],MATCH(N15,Table_ButtonsLangs[Button],0),MATCH("CodeNumberInDict",Table_ButtonsLangs[#Headers],0))</f>
        <v>27</v>
      </c>
      <c r="P15" t="str">
        <f>INDEX(Table_ButtonsLangs[],MATCH(N15,Table_ButtonsLangs[Button],0),MATCH("Caption",Table_ButtonsLangs[#Headers],0))</f>
        <v>Переменные к заполнению</v>
      </c>
    </row>
    <row r="16" spans="2:16" x14ac:dyDescent="0.3">
      <c r="G16">
        <v>14</v>
      </c>
      <c r="H16" t="s">
        <v>62</v>
      </c>
      <c r="I16" t="s">
        <v>37</v>
      </c>
      <c r="J16" t="s">
        <v>38</v>
      </c>
      <c r="K16" t="s">
        <v>39</v>
      </c>
      <c r="L16" t="s">
        <v>93</v>
      </c>
      <c r="N16" t="s">
        <v>164</v>
      </c>
      <c r="O16">
        <f>INDEX(Table_ButtonsLangs[],MATCH(N16,Table_ButtonsLangs[Button],0),MATCH("CodeNumberInDict",Table_ButtonsLangs[#Headers],0))</f>
        <v>40</v>
      </c>
      <c r="P16" t="str">
        <f>INDEX(Table_ButtonsLangs[],MATCH(N16,Table_ButtonsLangs[Button],0),MATCH("Caption",Table_ButtonsLangs[#Headers],0))</f>
        <v>Специальные символы для копирования</v>
      </c>
    </row>
    <row r="17" spans="7:16" x14ac:dyDescent="0.3">
      <c r="G17">
        <v>15</v>
      </c>
      <c r="H17" t="s">
        <v>63</v>
      </c>
      <c r="I17" t="s">
        <v>64</v>
      </c>
      <c r="J17" t="s">
        <v>65</v>
      </c>
      <c r="K17" t="s">
        <v>66</v>
      </c>
      <c r="L17" t="s">
        <v>93</v>
      </c>
      <c r="N17" t="s">
        <v>169</v>
      </c>
      <c r="O17">
        <f>INDEX(Table_ButtonsLangs[],MATCH(N17,Table_ButtonsLangs[Button],0),MATCH("CodeNumberInDict",Table_ButtonsLangs[#Headers],0))</f>
        <v>41</v>
      </c>
      <c r="P17" t="str">
        <f>INDEX(Table_ButtonsLangs[],MATCH(N17,Table_ButtonsLangs[Button],0),MATCH("Caption",Table_ButtonsLangs[#Headers],0))</f>
        <v>Первый вариант</v>
      </c>
    </row>
    <row r="18" spans="7:16" x14ac:dyDescent="0.3">
      <c r="G18">
        <v>16</v>
      </c>
      <c r="H18" t="s">
        <v>67</v>
      </c>
      <c r="I18" t="s">
        <v>68</v>
      </c>
      <c r="J18" t="s">
        <v>69</v>
      </c>
      <c r="K18" t="s">
        <v>70</v>
      </c>
      <c r="L18" t="s">
        <v>93</v>
      </c>
      <c r="N18" t="s">
        <v>170</v>
      </c>
      <c r="O18">
        <f>INDEX(Table_ButtonsLangs[],MATCH(N18,Table_ButtonsLangs[Button],0),MATCH("CodeNumberInDict",Table_ButtonsLangs[#Headers],0))</f>
        <v>42</v>
      </c>
      <c r="P18" t="str">
        <f>INDEX(Table_ButtonsLangs[],MATCH(N18,Table_ButtonsLangs[Button],0),MATCH("Caption",Table_ButtonsLangs[#Headers],0))</f>
        <v>Второй вариант</v>
      </c>
    </row>
    <row r="19" spans="7:16" x14ac:dyDescent="0.3">
      <c r="G19">
        <v>17</v>
      </c>
      <c r="H19" t="s">
        <v>71</v>
      </c>
      <c r="I19" t="s">
        <v>26</v>
      </c>
      <c r="J19" t="s">
        <v>27</v>
      </c>
      <c r="K19" t="s">
        <v>28</v>
      </c>
      <c r="L19" t="s">
        <v>93</v>
      </c>
      <c r="N19" t="s">
        <v>171</v>
      </c>
      <c r="O19">
        <f>INDEX(Table_ButtonsLangs[],MATCH(N19,Table_ButtonsLangs[Button],0),MATCH("CodeNumberInDict",Table_ButtonsLangs[#Headers],0))</f>
        <v>43</v>
      </c>
      <c r="P19" t="str">
        <f>INDEX(Table_ButtonsLangs[],MATCH(N19,Table_ButtonsLangs[Button],0),MATCH("Caption",Table_ButtonsLangs[#Headers],0))</f>
        <v>Третий вариант</v>
      </c>
    </row>
    <row r="20" spans="7:16" x14ac:dyDescent="0.3">
      <c r="G20">
        <v>18</v>
      </c>
      <c r="H20" t="s">
        <v>72</v>
      </c>
      <c r="I20" t="s">
        <v>30</v>
      </c>
      <c r="J20" t="s">
        <v>31</v>
      </c>
      <c r="K20" t="s">
        <v>32</v>
      </c>
      <c r="L20" t="s">
        <v>93</v>
      </c>
    </row>
    <row r="21" spans="7:16" x14ac:dyDescent="0.3">
      <c r="G21">
        <v>19</v>
      </c>
      <c r="H21" t="s">
        <v>73</v>
      </c>
      <c r="I21" t="s">
        <v>74</v>
      </c>
      <c r="J21" t="s">
        <v>76</v>
      </c>
      <c r="K21" t="s">
        <v>75</v>
      </c>
      <c r="L21" t="s">
        <v>93</v>
      </c>
    </row>
    <row r="22" spans="7:16" x14ac:dyDescent="0.3">
      <c r="G22">
        <v>20</v>
      </c>
      <c r="H22" t="s">
        <v>77</v>
      </c>
      <c r="I22" t="s">
        <v>79</v>
      </c>
      <c r="J22" t="s">
        <v>80</v>
      </c>
      <c r="K22" t="s">
        <v>81</v>
      </c>
      <c r="L22" t="s">
        <v>93</v>
      </c>
      <c r="N22" s="4" t="s">
        <v>111</v>
      </c>
    </row>
    <row r="23" spans="7:16" x14ac:dyDescent="0.3">
      <c r="G23">
        <v>21</v>
      </c>
      <c r="H23" t="s">
        <v>78</v>
      </c>
      <c r="I23" t="s">
        <v>30</v>
      </c>
      <c r="J23" t="s">
        <v>31</v>
      </c>
      <c r="K23" t="s">
        <v>32</v>
      </c>
      <c r="L23" t="s">
        <v>93</v>
      </c>
    </row>
    <row r="24" spans="7:16" x14ac:dyDescent="0.3">
      <c r="G24">
        <v>22</v>
      </c>
      <c r="H24" t="s">
        <v>82</v>
      </c>
      <c r="I24" t="s">
        <v>84</v>
      </c>
      <c r="J24" t="s">
        <v>83</v>
      </c>
      <c r="K24" t="s">
        <v>85</v>
      </c>
      <c r="L24" t="s">
        <v>93</v>
      </c>
    </row>
    <row r="25" spans="7:16" x14ac:dyDescent="0.3">
      <c r="G25">
        <v>23</v>
      </c>
      <c r="H25" t="s">
        <v>86</v>
      </c>
      <c r="I25" t="s">
        <v>9</v>
      </c>
      <c r="J25" t="s">
        <v>88</v>
      </c>
      <c r="K25" t="s">
        <v>89</v>
      </c>
      <c r="L25" t="s">
        <v>93</v>
      </c>
    </row>
    <row r="26" spans="7:16" x14ac:dyDescent="0.3">
      <c r="G26">
        <v>24</v>
      </c>
      <c r="H26" t="s">
        <v>87</v>
      </c>
      <c r="I26" t="s">
        <v>161</v>
      </c>
      <c r="J26" t="s">
        <v>162</v>
      </c>
      <c r="K26" t="s">
        <v>163</v>
      </c>
      <c r="L26" t="s">
        <v>93</v>
      </c>
      <c r="N26" s="4" t="s">
        <v>182</v>
      </c>
    </row>
    <row r="27" spans="7:16" x14ac:dyDescent="0.3">
      <c r="G27">
        <v>25</v>
      </c>
      <c r="H27" t="s">
        <v>95</v>
      </c>
      <c r="I27" t="s">
        <v>96</v>
      </c>
      <c r="J27" t="s">
        <v>98</v>
      </c>
      <c r="K27" t="s">
        <v>97</v>
      </c>
      <c r="L27" t="s">
        <v>94</v>
      </c>
      <c r="N27" t="s">
        <v>181</v>
      </c>
    </row>
    <row r="28" spans="7:16" x14ac:dyDescent="0.3">
      <c r="G28">
        <v>26</v>
      </c>
      <c r="H28" t="s">
        <v>103</v>
      </c>
      <c r="I28" t="s">
        <v>104</v>
      </c>
      <c r="J28" t="s">
        <v>105</v>
      </c>
      <c r="K28" t="s">
        <v>103</v>
      </c>
      <c r="L28" t="s">
        <v>94</v>
      </c>
    </row>
    <row r="29" spans="7:16" x14ac:dyDescent="0.3">
      <c r="G29">
        <v>27</v>
      </c>
      <c r="H29" t="s">
        <v>107</v>
      </c>
      <c r="I29" t="s">
        <v>108</v>
      </c>
      <c r="J29" t="s">
        <v>109</v>
      </c>
      <c r="K29" t="s">
        <v>110</v>
      </c>
      <c r="L29" t="s">
        <v>94</v>
      </c>
    </row>
    <row r="30" spans="7:16" x14ac:dyDescent="0.3">
      <c r="G30">
        <v>28</v>
      </c>
      <c r="H30" t="s">
        <v>113</v>
      </c>
      <c r="I30" t="s">
        <v>158</v>
      </c>
      <c r="J30" t="s">
        <v>157</v>
      </c>
      <c r="K30" t="s">
        <v>159</v>
      </c>
      <c r="L30" t="s">
        <v>112</v>
      </c>
    </row>
    <row r="31" spans="7:16" x14ac:dyDescent="0.3">
      <c r="G31">
        <v>29</v>
      </c>
      <c r="H31" t="s">
        <v>114</v>
      </c>
      <c r="I31" t="s">
        <v>115</v>
      </c>
      <c r="J31" t="s">
        <v>156</v>
      </c>
      <c r="K31" t="s">
        <v>116</v>
      </c>
      <c r="L31" t="s">
        <v>112</v>
      </c>
    </row>
    <row r="32" spans="7:16" x14ac:dyDescent="0.3">
      <c r="G32">
        <v>30</v>
      </c>
      <c r="H32" t="s">
        <v>118</v>
      </c>
      <c r="I32" t="s">
        <v>120</v>
      </c>
      <c r="J32" t="s">
        <v>121</v>
      </c>
      <c r="K32" t="s">
        <v>119</v>
      </c>
      <c r="L32" t="s">
        <v>112</v>
      </c>
    </row>
    <row r="33" spans="7:12" x14ac:dyDescent="0.3">
      <c r="G33">
        <v>31</v>
      </c>
      <c r="H33" t="s">
        <v>122</v>
      </c>
      <c r="I33" t="s">
        <v>123</v>
      </c>
      <c r="J33" t="s">
        <v>124</v>
      </c>
      <c r="K33" t="s">
        <v>125</v>
      </c>
      <c r="L33" t="s">
        <v>112</v>
      </c>
    </row>
    <row r="34" spans="7:12" x14ac:dyDescent="0.3">
      <c r="G34">
        <v>32</v>
      </c>
      <c r="H34" t="s">
        <v>126</v>
      </c>
      <c r="I34" t="s">
        <v>127</v>
      </c>
      <c r="J34" t="s">
        <v>128</v>
      </c>
      <c r="K34" t="s">
        <v>129</v>
      </c>
      <c r="L34" t="s">
        <v>112</v>
      </c>
    </row>
    <row r="35" spans="7:12" x14ac:dyDescent="0.3">
      <c r="G35">
        <v>33</v>
      </c>
      <c r="H35" t="s">
        <v>130</v>
      </c>
      <c r="I35" t="s">
        <v>131</v>
      </c>
      <c r="J35" t="s">
        <v>155</v>
      </c>
      <c r="K35" t="s">
        <v>132</v>
      </c>
      <c r="L35" t="s">
        <v>112</v>
      </c>
    </row>
    <row r="36" spans="7:12" x14ac:dyDescent="0.3">
      <c r="G36">
        <v>34</v>
      </c>
      <c r="H36" t="s">
        <v>117</v>
      </c>
      <c r="I36" t="s">
        <v>134</v>
      </c>
      <c r="J36" t="s">
        <v>133</v>
      </c>
      <c r="K36" t="s">
        <v>135</v>
      </c>
      <c r="L36" t="s">
        <v>112</v>
      </c>
    </row>
    <row r="37" spans="7:12" x14ac:dyDescent="0.3">
      <c r="G37">
        <v>35</v>
      </c>
      <c r="H37" t="s">
        <v>136</v>
      </c>
      <c r="I37" t="s">
        <v>137</v>
      </c>
      <c r="J37" t="s">
        <v>138</v>
      </c>
      <c r="K37" t="s">
        <v>139</v>
      </c>
      <c r="L37" t="s">
        <v>112</v>
      </c>
    </row>
    <row r="38" spans="7:12" x14ac:dyDescent="0.3">
      <c r="G38">
        <v>36</v>
      </c>
      <c r="H38" t="s">
        <v>141</v>
      </c>
      <c r="I38" t="s">
        <v>153</v>
      </c>
      <c r="J38" t="s">
        <v>144</v>
      </c>
      <c r="K38" t="s">
        <v>146</v>
      </c>
      <c r="L38" t="s">
        <v>112</v>
      </c>
    </row>
    <row r="39" spans="7:12" x14ac:dyDescent="0.3">
      <c r="G39">
        <v>37</v>
      </c>
      <c r="H39" t="s">
        <v>142</v>
      </c>
      <c r="I39" t="s">
        <v>140</v>
      </c>
      <c r="J39" t="s">
        <v>145</v>
      </c>
      <c r="K39" t="s">
        <v>160</v>
      </c>
      <c r="L39" t="s">
        <v>112</v>
      </c>
    </row>
    <row r="40" spans="7:12" x14ac:dyDescent="0.3">
      <c r="G40">
        <v>38</v>
      </c>
      <c r="H40" t="s">
        <v>143</v>
      </c>
      <c r="I40" t="s">
        <v>148</v>
      </c>
      <c r="J40" t="s">
        <v>154</v>
      </c>
      <c r="K40" t="s">
        <v>147</v>
      </c>
      <c r="L40" t="s">
        <v>112</v>
      </c>
    </row>
    <row r="41" spans="7:12" x14ac:dyDescent="0.3">
      <c r="G41">
        <v>39</v>
      </c>
      <c r="H41" t="s">
        <v>149</v>
      </c>
      <c r="I41" t="s">
        <v>150</v>
      </c>
      <c r="J41" t="s">
        <v>152</v>
      </c>
      <c r="K41" t="s">
        <v>151</v>
      </c>
      <c r="L41" t="s">
        <v>112</v>
      </c>
    </row>
    <row r="42" spans="7:12" x14ac:dyDescent="0.3">
      <c r="G42">
        <v>40</v>
      </c>
      <c r="H42" t="s">
        <v>164</v>
      </c>
      <c r="I42" t="s">
        <v>165</v>
      </c>
      <c r="J42" t="s">
        <v>166</v>
      </c>
      <c r="K42" t="s">
        <v>167</v>
      </c>
      <c r="L42" t="s">
        <v>94</v>
      </c>
    </row>
    <row r="43" spans="7:12" x14ac:dyDescent="0.3">
      <c r="G43">
        <v>41</v>
      </c>
      <c r="H43" t="s">
        <v>169</v>
      </c>
      <c r="I43" t="s">
        <v>172</v>
      </c>
      <c r="J43" t="s">
        <v>175</v>
      </c>
      <c r="K43" t="s">
        <v>169</v>
      </c>
      <c r="L43" t="s">
        <v>94</v>
      </c>
    </row>
    <row r="44" spans="7:12" x14ac:dyDescent="0.3">
      <c r="G44">
        <v>42</v>
      </c>
      <c r="H44" t="s">
        <v>170</v>
      </c>
      <c r="I44" t="s">
        <v>173</v>
      </c>
      <c r="J44" t="s">
        <v>176</v>
      </c>
      <c r="K44" t="s">
        <v>170</v>
      </c>
      <c r="L44" t="s">
        <v>94</v>
      </c>
    </row>
    <row r="45" spans="7:12" x14ac:dyDescent="0.3">
      <c r="G45">
        <v>43</v>
      </c>
      <c r="H45" t="s">
        <v>171</v>
      </c>
      <c r="I45" t="s">
        <v>174</v>
      </c>
      <c r="J45" t="s">
        <v>177</v>
      </c>
      <c r="K45" t="s">
        <v>171</v>
      </c>
      <c r="L45" t="s">
        <v>94</v>
      </c>
    </row>
    <row r="46" spans="7:12" x14ac:dyDescent="0.3">
      <c r="G46">
        <v>44</v>
      </c>
      <c r="H46" t="s">
        <v>198</v>
      </c>
      <c r="I46" t="s">
        <v>184</v>
      </c>
      <c r="J46" t="s">
        <v>190</v>
      </c>
      <c r="K46" t="s">
        <v>194</v>
      </c>
      <c r="L46" t="s">
        <v>183</v>
      </c>
    </row>
    <row r="47" spans="7:12" x14ac:dyDescent="0.3">
      <c r="G47">
        <v>45</v>
      </c>
      <c r="H47" t="s">
        <v>199</v>
      </c>
      <c r="I47" t="s">
        <v>185</v>
      </c>
      <c r="J47" t="s">
        <v>204</v>
      </c>
      <c r="K47" t="s">
        <v>195</v>
      </c>
      <c r="L47" t="s">
        <v>183</v>
      </c>
    </row>
    <row r="48" spans="7:12" x14ac:dyDescent="0.3">
      <c r="G48">
        <v>46</v>
      </c>
      <c r="H48" t="s">
        <v>200</v>
      </c>
      <c r="I48" t="s">
        <v>186</v>
      </c>
      <c r="J48" t="s">
        <v>191</v>
      </c>
      <c r="K48" t="s">
        <v>205</v>
      </c>
      <c r="L48" t="s">
        <v>183</v>
      </c>
    </row>
    <row r="49" spans="7:12" x14ac:dyDescent="0.3">
      <c r="G49">
        <v>47</v>
      </c>
      <c r="H49" t="s">
        <v>201</v>
      </c>
      <c r="I49" t="s">
        <v>187</v>
      </c>
      <c r="J49" t="s">
        <v>192</v>
      </c>
      <c r="K49" t="s">
        <v>196</v>
      </c>
      <c r="L49" t="s">
        <v>183</v>
      </c>
    </row>
    <row r="50" spans="7:12" x14ac:dyDescent="0.3">
      <c r="G50">
        <v>48</v>
      </c>
      <c r="H50" t="s">
        <v>202</v>
      </c>
      <c r="I50" s="3" t="s">
        <v>188</v>
      </c>
      <c r="J50" s="3" t="s">
        <v>193</v>
      </c>
      <c r="K50" s="3" t="s">
        <v>197</v>
      </c>
      <c r="L50" t="s">
        <v>183</v>
      </c>
    </row>
    <row r="51" spans="7:12" x14ac:dyDescent="0.3">
      <c r="G51">
        <v>49</v>
      </c>
      <c r="H51" t="s">
        <v>203</v>
      </c>
      <c r="I51" s="3" t="s">
        <v>189</v>
      </c>
      <c r="J51" s="3" t="s">
        <v>189</v>
      </c>
      <c r="K51" s="3" t="s">
        <v>189</v>
      </c>
      <c r="L51" t="s">
        <v>183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K.</dc:creator>
  <cp:lastModifiedBy>User</cp:lastModifiedBy>
  <dcterms:created xsi:type="dcterms:W3CDTF">2020-08-25T16:44:42Z</dcterms:created>
  <dcterms:modified xsi:type="dcterms:W3CDTF">2024-06-28T13:06:31Z</dcterms:modified>
</cp:coreProperties>
</file>